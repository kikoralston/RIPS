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kiko/CMU/RIPS/git/curtailment/"/>
    </mc:Choice>
  </mc:AlternateContent>
  <xr:revisionPtr revIDLastSave="0" documentId="13_ncr:1_{2A3E30EE-C235-414A-A2A5-A21429DB9AB3}" xr6:coauthVersionLast="43" xr6:coauthVersionMax="43" xr10:uidLastSave="{00000000-0000-0000-0000-000000000000}"/>
  <bookViews>
    <workbookView xWindow="-32280" yWindow="-4040" windowWidth="30280" windowHeight="16640" activeTab="2" xr2:uid="{1D5E250E-6AE1-624C-80CC-4A52E40F976B}"/>
  </bookViews>
  <sheets>
    <sheet name="Description" sheetId="2" r:id="rId1"/>
    <sheet name="capacity" sheetId="1" r:id="rId2"/>
    <sheet name="water"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2" i="3" l="1"/>
  <c r="I22" i="3"/>
  <c r="J21" i="3"/>
  <c r="I21" i="3"/>
  <c r="J20" i="3"/>
  <c r="I20" i="3"/>
  <c r="G20" i="3"/>
  <c r="G21" i="3"/>
  <c r="G22" i="3"/>
  <c r="E22" i="3"/>
  <c r="E21" i="3"/>
  <c r="D22" i="3"/>
  <c r="D21" i="3"/>
  <c r="E20" i="3"/>
  <c r="D20" i="3"/>
  <c r="J19" i="3"/>
  <c r="J18" i="3"/>
  <c r="I19" i="3"/>
  <c r="I18" i="3"/>
  <c r="F19" i="3"/>
  <c r="E19" i="3"/>
  <c r="D19" i="3"/>
  <c r="F18" i="3"/>
  <c r="E18" i="3"/>
  <c r="D18" i="3"/>
  <c r="J17" i="3"/>
  <c r="I17" i="3"/>
  <c r="F17" i="3"/>
  <c r="E17" i="3"/>
  <c r="D17" i="3"/>
</calcChain>
</file>

<file path=xl/sharedStrings.xml><?xml version="1.0" encoding="utf-8"?>
<sst xmlns="http://schemas.openxmlformats.org/spreadsheetml/2006/main" count="160" uniqueCount="34">
  <si>
    <t>plant type</t>
  </si>
  <si>
    <t>cooling type</t>
  </si>
  <si>
    <t>design type</t>
  </si>
  <si>
    <t>airF</t>
  </si>
  <si>
    <t>intercept</t>
  </si>
  <si>
    <t>waterF</t>
  </si>
  <si>
    <t>rh</t>
  </si>
  <si>
    <t>P</t>
  </si>
  <si>
    <t>Coal Steam</t>
  </si>
  <si>
    <t>once through</t>
  </si>
  <si>
    <t>Date:</t>
  </si>
  <si>
    <t>This excel file can be used to create the JSON file with all the regression coefficients for the estimation of capacity curtailments that will be used by the CE/UC models.</t>
  </si>
  <si>
    <t>More info about these regression equations in: &lt;reference Aviva's paper&gt;</t>
  </si>
  <si>
    <t>There are two types of dependent variables in Aviva's regressions: available capacity (%) and water intensity (gal/MWh). The sheet 'capacity' refers to the equations for</t>
  </si>
  <si>
    <t>available capacity. The sheet 'water' refers to the equations for water intensity. The regression coefficients for the different cooling system design parameters should</t>
  </si>
  <si>
    <t>be filled in the each table in the respective sheet.</t>
  </si>
  <si>
    <t>After completing the table with all coeficients, click on the oval button ('Create json') to create the json file in the same directory as the excel file. The file will have the</t>
  </si>
  <si>
    <t>same name as the sheet.</t>
  </si>
  <si>
    <t>Author:</t>
  </si>
  <si>
    <t>Francisco Fonseca</t>
  </si>
  <si>
    <t>ubound</t>
  </si>
  <si>
    <t>lbound</t>
  </si>
  <si>
    <t xml:space="preserve">The three first columns specify the plant type, cooling type and design parametes, respectively. The last two columns specify, respectively, the upper and lower bounds </t>
  </si>
  <si>
    <t>(cut-off values) of the response variable.  The remaining columns are the coefficients for the explanatory variables in each regression equation.</t>
  </si>
  <si>
    <t>If an explanatory variable is not used in an equation, that cell should be left empty or with a value of zero.</t>
  </si>
  <si>
    <t>recirculating</t>
  </si>
  <si>
    <t>90-70</t>
  </si>
  <si>
    <t>95-75</t>
  </si>
  <si>
    <t>100-80</t>
  </si>
  <si>
    <t>airF:rh</t>
  </si>
  <si>
    <t>dry cooling</t>
  </si>
  <si>
    <t>Combined Cycle</t>
  </si>
  <si>
    <t>Combustion Turbine</t>
  </si>
  <si>
    <t>Nuclear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</si>
</sst>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Calibri"/>
      <family val="2"/>
      <scheme val="minor"/>
    </font>
    <font>
      <b/>
      <sz val="12"/>
      <color theme="1"/>
      <name val="Calibri"/>
      <family val="2"/>
      <scheme val="minor"/>
    </font>
    <font>
      <sz val="11"/>
      <color rgb="FF000000"/>
      <name val="Garamond"/>
      <family val="1"/>
    </font>
    <font>
      <sz val="12"/>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ill="1"/>
    <xf numFmtId="0" fontId="2" fillId="0" borderId="0" xfId="0" applyFont="1" applyAlignment="1">
      <alignment vertical="center"/>
    </xf>
    <xf numFmtId="0" fontId="1" fillId="0" borderId="0" xfId="0" applyFont="1" applyFill="1"/>
    <xf numFmtId="17" fontId="0" fillId="0" borderId="0" xfId="0" applyNumberFormat="1" applyFill="1" applyAlignment="1">
      <alignment horizontal="left"/>
    </xf>
    <xf numFmtId="0" fontId="0" fillId="0" borderId="0" xfId="0" applyFont="1"/>
    <xf numFmtId="0" fontId="0" fillId="0" borderId="0" xfId="0" quotePrefix="1" applyFont="1"/>
    <xf numFmtId="0" fontId="3"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292100</xdr:colOff>
      <xdr:row>0</xdr:row>
      <xdr:rowOff>25400</xdr:rowOff>
    </xdr:from>
    <xdr:to>
      <xdr:col>1</xdr:col>
      <xdr:colOff>203200</xdr:colOff>
      <xdr:row>2</xdr:row>
      <xdr:rowOff>167640</xdr:rowOff>
    </xdr:to>
    <xdr:sp macro="[0]!WriteJSON.writejson" textlink="">
      <xdr:nvSpPr>
        <xdr:cNvPr id="2" name="Oval 1">
          <a:extLst>
            <a:ext uri="{FF2B5EF4-FFF2-40B4-BE49-F238E27FC236}">
              <a16:creationId xmlns:a16="http://schemas.microsoft.com/office/drawing/2014/main" id="{10C803D1-D6CD-CA41-BFA3-534CAF0263EC}"/>
            </a:ext>
          </a:extLst>
        </xdr:cNvPr>
        <xdr:cNvSpPr/>
      </xdr:nvSpPr>
      <xdr:spPr>
        <a:xfrm>
          <a:off x="292100" y="25400"/>
          <a:ext cx="914400" cy="5486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t>Create json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292100</xdr:colOff>
      <xdr:row>0</xdr:row>
      <xdr:rowOff>25400</xdr:rowOff>
    </xdr:from>
    <xdr:to>
      <xdr:col>1</xdr:col>
      <xdr:colOff>203200</xdr:colOff>
      <xdr:row>2</xdr:row>
      <xdr:rowOff>167640</xdr:rowOff>
    </xdr:to>
    <xdr:sp macro="[0]!WriteJSON.writejson" textlink="">
      <xdr:nvSpPr>
        <xdr:cNvPr id="2" name="Oval 1">
          <a:extLst>
            <a:ext uri="{FF2B5EF4-FFF2-40B4-BE49-F238E27FC236}">
              <a16:creationId xmlns:a16="http://schemas.microsoft.com/office/drawing/2014/main" id="{D905F254-71D5-DD47-A6DF-B870AE633321}"/>
            </a:ext>
          </a:extLst>
        </xdr:cNvPr>
        <xdr:cNvSpPr/>
      </xdr:nvSpPr>
      <xdr:spPr>
        <a:xfrm>
          <a:off x="292100" y="25400"/>
          <a:ext cx="914400" cy="54864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a:t>Create json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E8021-BD42-7B4A-AAD6-4F6F3250A905}">
  <sheetPr codeName="Sheet2"/>
  <dimension ref="A1:O24"/>
  <sheetViews>
    <sheetView showGridLines="0" workbookViewId="0">
      <selection activeCell="B13" sqref="B13"/>
    </sheetView>
  </sheetViews>
  <sheetFormatPr baseColWidth="10" defaultColWidth="0" defaultRowHeight="16" zeroHeight="1"/>
  <cols>
    <col min="1" max="1" width="3" style="2" customWidth="1"/>
    <col min="2" max="2" width="9.33203125" style="2" customWidth="1"/>
    <col min="3" max="15" width="10.83203125" style="2" customWidth="1"/>
    <col min="16" max="16384" width="10.83203125" style="2" hidden="1"/>
  </cols>
  <sheetData>
    <row r="1" spans="2:2"/>
    <row r="2" spans="2:2"/>
    <row r="3" spans="2:2">
      <c r="B3" s="2" t="s">
        <v>11</v>
      </c>
    </row>
    <row r="4" spans="2:2"/>
    <row r="5" spans="2:2"/>
    <row r="6" spans="2:2">
      <c r="B6" s="2" t="s">
        <v>13</v>
      </c>
    </row>
    <row r="7" spans="2:2">
      <c r="B7" s="2" t="s">
        <v>14</v>
      </c>
    </row>
    <row r="8" spans="2:2">
      <c r="B8" s="2" t="s">
        <v>15</v>
      </c>
    </row>
    <row r="9" spans="2:2"/>
    <row r="10" spans="2:2">
      <c r="B10" s="2" t="s">
        <v>22</v>
      </c>
    </row>
    <row r="11" spans="2:2">
      <c r="B11" s="2" t="s">
        <v>23</v>
      </c>
    </row>
    <row r="12" spans="2:2">
      <c r="B12" s="2" t="s">
        <v>24</v>
      </c>
    </row>
    <row r="13" spans="2:2"/>
    <row r="14" spans="2:2">
      <c r="B14" s="2" t="s">
        <v>16</v>
      </c>
    </row>
    <row r="15" spans="2:2">
      <c r="B15" s="2" t="s">
        <v>17</v>
      </c>
    </row>
    <row r="16" spans="2:2"/>
    <row r="17" spans="2:3">
      <c r="B17" s="2" t="s">
        <v>12</v>
      </c>
    </row>
    <row r="18" spans="2:3"/>
    <row r="19" spans="2:3"/>
    <row r="20" spans="2:3">
      <c r="B20" s="4" t="s">
        <v>10</v>
      </c>
      <c r="C20" s="5">
        <v>43160</v>
      </c>
    </row>
    <row r="21" spans="2:3">
      <c r="B21" s="4" t="s">
        <v>18</v>
      </c>
      <c r="C21" s="2" t="s">
        <v>19</v>
      </c>
    </row>
    <row r="22" spans="2:3"/>
    <row r="23" spans="2:3"/>
    <row r="24" spans="2:3"/>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1293-E553-654D-A7B3-73B0CEE2F0F1}">
  <sheetPr codeName="Sheet1"/>
  <dimension ref="A4:P37"/>
  <sheetViews>
    <sheetView workbookViewId="0">
      <pane ySplit="4" topLeftCell="A10" activePane="bottomLeft" state="frozen"/>
      <selection pane="bottomLeft" activeCell="A4" sqref="A4:K37"/>
    </sheetView>
  </sheetViews>
  <sheetFormatPr baseColWidth="10" defaultRowHeight="16"/>
  <cols>
    <col min="1" max="8" width="13.1640625" customWidth="1"/>
  </cols>
  <sheetData>
    <row r="4" spans="1:16">
      <c r="A4" s="1" t="s">
        <v>0</v>
      </c>
      <c r="B4" s="1" t="s">
        <v>1</v>
      </c>
      <c r="C4" s="1" t="s">
        <v>2</v>
      </c>
      <c r="D4" s="1" t="s">
        <v>4</v>
      </c>
      <c r="E4" s="1" t="s">
        <v>3</v>
      </c>
      <c r="F4" s="1" t="s">
        <v>5</v>
      </c>
      <c r="G4" s="1" t="s">
        <v>6</v>
      </c>
      <c r="H4" s="1" t="s">
        <v>7</v>
      </c>
      <c r="I4" s="1" t="s">
        <v>29</v>
      </c>
      <c r="J4" s="1" t="s">
        <v>20</v>
      </c>
      <c r="K4" s="1" t="s">
        <v>21</v>
      </c>
    </row>
    <row r="5" spans="1:16">
      <c r="A5" s="6" t="s">
        <v>8</v>
      </c>
      <c r="B5" s="6" t="s">
        <v>9</v>
      </c>
      <c r="C5" s="6">
        <v>10</v>
      </c>
      <c r="D5" s="6">
        <v>8.14</v>
      </c>
      <c r="E5" s="6">
        <v>0.09</v>
      </c>
      <c r="F5" s="6">
        <v>-0.159</v>
      </c>
      <c r="G5" s="6"/>
      <c r="H5" s="6"/>
      <c r="I5" s="6"/>
      <c r="J5" s="6">
        <v>1</v>
      </c>
      <c r="K5" s="6">
        <v>0</v>
      </c>
    </row>
    <row r="6" spans="1:16">
      <c r="A6" s="6" t="s">
        <v>8</v>
      </c>
      <c r="B6" s="6" t="s">
        <v>9</v>
      </c>
      <c r="C6" s="6">
        <v>20</v>
      </c>
      <c r="D6" s="6">
        <v>8.42</v>
      </c>
      <c r="E6" s="6">
        <v>9.9099999999999994E-2</v>
      </c>
      <c r="F6" s="6">
        <v>-0.17899999999999999</v>
      </c>
      <c r="G6" s="6"/>
      <c r="H6" s="6"/>
      <c r="I6" s="6"/>
      <c r="J6" s="6">
        <v>1</v>
      </c>
      <c r="K6" s="6">
        <v>0</v>
      </c>
    </row>
    <row r="7" spans="1:16">
      <c r="A7" s="6" t="s">
        <v>8</v>
      </c>
      <c r="B7" s="6" t="s">
        <v>9</v>
      </c>
      <c r="C7" s="6">
        <v>30</v>
      </c>
      <c r="D7" s="6">
        <v>5.72</v>
      </c>
      <c r="E7" s="6">
        <v>7.0999999999999994E-2</v>
      </c>
      <c r="F7" s="6">
        <v>-0.128</v>
      </c>
      <c r="G7" s="6"/>
      <c r="H7" s="6"/>
      <c r="I7" s="6"/>
      <c r="J7" s="6">
        <v>1</v>
      </c>
      <c r="K7" s="6">
        <v>0</v>
      </c>
    </row>
    <row r="8" spans="1:16">
      <c r="A8" s="6" t="s">
        <v>8</v>
      </c>
      <c r="B8" s="6" t="s">
        <v>25</v>
      </c>
      <c r="C8" s="7" t="s">
        <v>26</v>
      </c>
      <c r="D8" s="6">
        <v>-0.61</v>
      </c>
      <c r="E8" s="6">
        <v>2.24E-2</v>
      </c>
      <c r="F8" s="6"/>
      <c r="G8" s="6">
        <v>7.0000000000000007E-2</v>
      </c>
      <c r="H8" s="6"/>
      <c r="I8" s="6">
        <v>-9.41E-4</v>
      </c>
      <c r="J8" s="6">
        <v>1</v>
      </c>
      <c r="K8" s="6">
        <v>0</v>
      </c>
    </row>
    <row r="9" spans="1:16">
      <c r="A9" s="6" t="s">
        <v>8</v>
      </c>
      <c r="B9" s="6" t="s">
        <v>25</v>
      </c>
      <c r="C9" s="7" t="s">
        <v>27</v>
      </c>
      <c r="D9" s="6">
        <v>0.19500000000000001</v>
      </c>
      <c r="E9" s="6">
        <v>1.0699999999999999E-2</v>
      </c>
      <c r="F9" s="6"/>
      <c r="G9" s="6">
        <v>2.87E-2</v>
      </c>
      <c r="H9" s="6"/>
      <c r="I9" s="6">
        <v>-3.7800000000000003E-4</v>
      </c>
      <c r="J9" s="6">
        <v>1</v>
      </c>
      <c r="K9" s="6">
        <v>0</v>
      </c>
    </row>
    <row r="10" spans="1:16">
      <c r="A10" s="6" t="s">
        <v>8</v>
      </c>
      <c r="B10" s="6" t="s">
        <v>25</v>
      </c>
      <c r="C10" s="7" t="s">
        <v>28</v>
      </c>
      <c r="D10" s="6">
        <v>0.90100000000000002</v>
      </c>
      <c r="E10" s="6">
        <v>1.2700000000000001E-3</v>
      </c>
      <c r="F10" s="6"/>
      <c r="G10" s="6">
        <v>3.1099999999999999E-3</v>
      </c>
      <c r="H10" s="6"/>
      <c r="I10" s="6">
        <v>-4.0500000000000002E-5</v>
      </c>
      <c r="J10" s="6">
        <v>1</v>
      </c>
      <c r="K10" s="6">
        <v>0</v>
      </c>
    </row>
    <row r="11" spans="1:16">
      <c r="A11" s="6" t="s">
        <v>8</v>
      </c>
      <c r="B11" s="6" t="s">
        <v>30</v>
      </c>
      <c r="C11" s="6">
        <v>25</v>
      </c>
      <c r="D11" s="6">
        <v>1.45</v>
      </c>
      <c r="E11" s="6">
        <v>-7.7200000000000003E-3</v>
      </c>
      <c r="F11" s="6"/>
      <c r="G11" s="6"/>
      <c r="H11" s="6">
        <v>1.34E-2</v>
      </c>
      <c r="I11" s="6"/>
      <c r="J11" s="6">
        <v>1</v>
      </c>
      <c r="K11" s="6">
        <v>0</v>
      </c>
    </row>
    <row r="12" spans="1:16">
      <c r="A12" s="6" t="s">
        <v>8</v>
      </c>
      <c r="B12" s="6" t="s">
        <v>30</v>
      </c>
      <c r="C12" s="6">
        <v>35</v>
      </c>
      <c r="D12" s="6">
        <v>1.96</v>
      </c>
      <c r="E12" s="6">
        <v>-1.5900000000000001E-2</v>
      </c>
      <c r="F12" s="6"/>
      <c r="G12" s="6"/>
      <c r="H12" s="6">
        <v>2.2599999999999999E-2</v>
      </c>
      <c r="I12" s="6"/>
      <c r="J12" s="6">
        <v>1</v>
      </c>
      <c r="K12" s="6">
        <v>0</v>
      </c>
      <c r="M12" s="3"/>
      <c r="N12" s="3"/>
      <c r="O12" s="3"/>
      <c r="P12" s="3"/>
    </row>
    <row r="13" spans="1:16">
      <c r="A13" s="6" t="s">
        <v>8</v>
      </c>
      <c r="B13" s="6" t="s">
        <v>30</v>
      </c>
      <c r="C13" s="6">
        <v>45</v>
      </c>
      <c r="D13" s="6">
        <v>2.02</v>
      </c>
      <c r="E13" s="6">
        <v>-1.9199999999999998E-2</v>
      </c>
      <c r="F13" s="6"/>
      <c r="G13" s="6"/>
      <c r="H13" s="6">
        <v>3.15E-2</v>
      </c>
      <c r="I13" s="6"/>
      <c r="J13" s="6">
        <v>1</v>
      </c>
      <c r="K13" s="6">
        <v>0</v>
      </c>
    </row>
    <row r="14" spans="1:16">
      <c r="A14" s="6" t="s">
        <v>8</v>
      </c>
      <c r="B14" s="6" t="s">
        <v>30</v>
      </c>
      <c r="C14" s="6">
        <v>55</v>
      </c>
      <c r="D14" s="6">
        <v>1.96</v>
      </c>
      <c r="E14" s="6">
        <v>-1.9099999999999999E-2</v>
      </c>
      <c r="F14" s="6"/>
      <c r="G14" s="6"/>
      <c r="H14" s="6">
        <v>2.7099999999999999E-2</v>
      </c>
      <c r="I14" s="6"/>
      <c r="J14" s="6">
        <v>1</v>
      </c>
      <c r="K14" s="6">
        <v>0</v>
      </c>
    </row>
    <row r="15" spans="1:16">
      <c r="A15" s="6" t="s">
        <v>31</v>
      </c>
      <c r="B15" s="6" t="s">
        <v>9</v>
      </c>
      <c r="C15" s="6">
        <v>10</v>
      </c>
      <c r="D15" s="6">
        <v>8.0299999999999994</v>
      </c>
      <c r="E15" s="6">
        <v>8.7499999999999994E-2</v>
      </c>
      <c r="F15" s="6">
        <v>-0.155</v>
      </c>
      <c r="G15" s="6"/>
      <c r="H15" s="6"/>
      <c r="I15" s="6"/>
      <c r="J15" s="6">
        <v>1</v>
      </c>
      <c r="K15" s="6">
        <v>0</v>
      </c>
    </row>
    <row r="16" spans="1:16">
      <c r="A16" s="6" t="s">
        <v>31</v>
      </c>
      <c r="B16" s="6" t="s">
        <v>9</v>
      </c>
      <c r="C16" s="6">
        <v>20</v>
      </c>
      <c r="D16" s="6">
        <v>8.67</v>
      </c>
      <c r="E16" s="6">
        <v>9.9099999999999994E-2</v>
      </c>
      <c r="F16" s="6">
        <v>-0.18099999999999999</v>
      </c>
      <c r="G16" s="6"/>
      <c r="H16" s="6"/>
      <c r="I16" s="6"/>
      <c r="J16" s="6">
        <v>1</v>
      </c>
      <c r="K16" s="6">
        <v>0</v>
      </c>
    </row>
    <row r="17" spans="1:11">
      <c r="A17" s="6" t="s">
        <v>31</v>
      </c>
      <c r="B17" s="6" t="s">
        <v>9</v>
      </c>
      <c r="C17" s="6">
        <v>30</v>
      </c>
      <c r="D17" s="6">
        <v>5.48</v>
      </c>
      <c r="E17" s="6">
        <v>6.5500000000000003E-2</v>
      </c>
      <c r="F17" s="6">
        <v>-0.12</v>
      </c>
      <c r="G17" s="6"/>
      <c r="H17" s="6"/>
      <c r="I17" s="6"/>
      <c r="J17" s="6">
        <v>1</v>
      </c>
      <c r="K17" s="6">
        <v>0</v>
      </c>
    </row>
    <row r="18" spans="1:11">
      <c r="A18" s="6" t="s">
        <v>31</v>
      </c>
      <c r="B18" s="6" t="s">
        <v>25</v>
      </c>
      <c r="C18" s="7" t="s">
        <v>26</v>
      </c>
      <c r="D18" s="6">
        <v>-0.84199999999999997</v>
      </c>
      <c r="E18" s="6">
        <v>2.3300000000000001E-2</v>
      </c>
      <c r="F18" s="6"/>
      <c r="G18" s="6">
        <v>6.6100000000000006E-2</v>
      </c>
      <c r="H18" s="6"/>
      <c r="I18" s="6">
        <v>-8.7299999999999997E-4</v>
      </c>
      <c r="J18" s="6">
        <v>1</v>
      </c>
      <c r="K18" s="6">
        <v>0</v>
      </c>
    </row>
    <row r="19" spans="1:11">
      <c r="A19" s="6" t="s">
        <v>31</v>
      </c>
      <c r="B19" s="6" t="s">
        <v>25</v>
      </c>
      <c r="C19" s="7" t="s">
        <v>27</v>
      </c>
      <c r="D19" s="6">
        <v>0.12</v>
      </c>
      <c r="E19" s="6">
        <v>1.1299999999999999E-2</v>
      </c>
      <c r="F19" s="6"/>
      <c r="G19" s="8">
        <v>2.6599999999999999E-2</v>
      </c>
      <c r="H19" s="8"/>
      <c r="I19" s="8">
        <v>-3.3599999999999998E-4</v>
      </c>
      <c r="J19" s="6">
        <v>1</v>
      </c>
      <c r="K19" s="6">
        <v>0</v>
      </c>
    </row>
    <row r="20" spans="1:11">
      <c r="A20" s="6" t="s">
        <v>31</v>
      </c>
      <c r="B20" s="6" t="s">
        <v>25</v>
      </c>
      <c r="C20" s="7" t="s">
        <v>28</v>
      </c>
      <c r="D20" s="6">
        <v>0.77</v>
      </c>
      <c r="E20" s="6">
        <v>3.1700000000000001E-3</v>
      </c>
      <c r="F20" s="6"/>
      <c r="G20" s="8">
        <v>4.9300000000000004E-3</v>
      </c>
      <c r="H20" s="8"/>
      <c r="I20" s="8">
        <v>-6.0300000000000002E-5</v>
      </c>
      <c r="J20" s="6">
        <v>1</v>
      </c>
      <c r="K20" s="6">
        <v>0</v>
      </c>
    </row>
    <row r="21" spans="1:11">
      <c r="A21" s="6" t="s">
        <v>31</v>
      </c>
      <c r="B21" s="6" t="s">
        <v>30</v>
      </c>
      <c r="C21" s="6">
        <v>25</v>
      </c>
      <c r="D21" s="8">
        <v>1.01</v>
      </c>
      <c r="E21" s="8">
        <v>-5.1199999999999998E-4</v>
      </c>
      <c r="F21" s="6"/>
      <c r="G21" s="8"/>
      <c r="H21" s="8">
        <v>2.6199999999999999E-3</v>
      </c>
      <c r="I21" s="8"/>
      <c r="J21" s="6">
        <v>1</v>
      </c>
      <c r="K21" s="6">
        <v>0</v>
      </c>
    </row>
    <row r="22" spans="1:11">
      <c r="A22" s="6" t="s">
        <v>31</v>
      </c>
      <c r="B22" s="6" t="s">
        <v>30</v>
      </c>
      <c r="C22" s="6">
        <v>35</v>
      </c>
      <c r="D22" s="8">
        <v>1.24</v>
      </c>
      <c r="E22" s="8">
        <v>-3.9899999999999996E-3</v>
      </c>
      <c r="F22" s="6"/>
      <c r="G22" s="8"/>
      <c r="H22" s="8">
        <v>6.9300000000000004E-3</v>
      </c>
      <c r="I22" s="8"/>
      <c r="J22" s="6">
        <v>1</v>
      </c>
      <c r="K22" s="6">
        <v>0</v>
      </c>
    </row>
    <row r="23" spans="1:11">
      <c r="A23" s="6" t="s">
        <v>31</v>
      </c>
      <c r="B23" s="6" t="s">
        <v>30</v>
      </c>
      <c r="C23" s="6">
        <v>45</v>
      </c>
      <c r="D23" s="8">
        <v>1.66</v>
      </c>
      <c r="E23" s="8">
        <v>-1.0699999999999999E-2</v>
      </c>
      <c r="F23" s="6"/>
      <c r="G23" s="6"/>
      <c r="H23" s="6">
        <v>1.61E-2</v>
      </c>
      <c r="I23" s="6"/>
      <c r="J23" s="6">
        <v>1</v>
      </c>
      <c r="K23" s="6">
        <v>0</v>
      </c>
    </row>
    <row r="24" spans="1:11">
      <c r="A24" s="6" t="s">
        <v>31</v>
      </c>
      <c r="B24" s="6" t="s">
        <v>30</v>
      </c>
      <c r="C24" s="6">
        <v>55</v>
      </c>
      <c r="D24" s="8">
        <v>2.09</v>
      </c>
      <c r="E24" s="8">
        <v>-1.8499999999999999E-2</v>
      </c>
      <c r="F24" s="6"/>
      <c r="G24" s="6"/>
      <c r="H24" s="6">
        <v>2.7199999999999998E-2</v>
      </c>
      <c r="I24" s="6"/>
      <c r="J24" s="6">
        <v>1</v>
      </c>
      <c r="K24" s="6">
        <v>0</v>
      </c>
    </row>
    <row r="25" spans="1:11">
      <c r="A25" s="6" t="s">
        <v>32</v>
      </c>
      <c r="B25" s="6" t="s">
        <v>9</v>
      </c>
      <c r="C25" s="6">
        <v>10</v>
      </c>
      <c r="D25" s="6">
        <v>8.0299999999999994</v>
      </c>
      <c r="E25" s="6">
        <v>8.7499999999999994E-2</v>
      </c>
      <c r="F25" s="6">
        <v>-0.155</v>
      </c>
      <c r="G25" s="6"/>
      <c r="H25" s="6"/>
      <c r="I25" s="6"/>
      <c r="J25" s="6">
        <v>1</v>
      </c>
      <c r="K25" s="6">
        <v>0</v>
      </c>
    </row>
    <row r="26" spans="1:11">
      <c r="A26" s="6" t="s">
        <v>32</v>
      </c>
      <c r="B26" s="6" t="s">
        <v>9</v>
      </c>
      <c r="C26" s="6">
        <v>20</v>
      </c>
      <c r="D26" s="6">
        <v>8.67</v>
      </c>
      <c r="E26" s="6">
        <v>9.9099999999999994E-2</v>
      </c>
      <c r="F26" s="6">
        <v>-0.18099999999999999</v>
      </c>
      <c r="G26" s="6"/>
      <c r="H26" s="6"/>
      <c r="I26" s="6"/>
      <c r="J26" s="6">
        <v>1</v>
      </c>
      <c r="K26" s="6">
        <v>0</v>
      </c>
    </row>
    <row r="27" spans="1:11">
      <c r="A27" s="6" t="s">
        <v>32</v>
      </c>
      <c r="B27" s="6" t="s">
        <v>9</v>
      </c>
      <c r="C27" s="6">
        <v>30</v>
      </c>
      <c r="D27" s="6">
        <v>5.48</v>
      </c>
      <c r="E27" s="6">
        <v>6.5500000000000003E-2</v>
      </c>
      <c r="F27" s="6">
        <v>-0.12</v>
      </c>
      <c r="G27" s="6"/>
      <c r="H27" s="6"/>
      <c r="I27" s="6"/>
      <c r="J27" s="6">
        <v>1</v>
      </c>
      <c r="K27" s="6">
        <v>0</v>
      </c>
    </row>
    <row r="28" spans="1:11">
      <c r="A28" s="6" t="s">
        <v>32</v>
      </c>
      <c r="B28" s="6" t="s">
        <v>25</v>
      </c>
      <c r="C28" s="7" t="s">
        <v>26</v>
      </c>
      <c r="D28" s="6">
        <v>-0.84199999999999997</v>
      </c>
      <c r="E28" s="6">
        <v>2.3300000000000001E-2</v>
      </c>
      <c r="F28" s="6"/>
      <c r="G28" s="6">
        <v>6.6100000000000006E-2</v>
      </c>
      <c r="H28" s="6"/>
      <c r="I28" s="6">
        <v>-8.7299999999999997E-4</v>
      </c>
      <c r="J28" s="6">
        <v>1</v>
      </c>
      <c r="K28" s="6">
        <v>0</v>
      </c>
    </row>
    <row r="29" spans="1:11">
      <c r="A29" s="6" t="s">
        <v>32</v>
      </c>
      <c r="B29" s="6" t="s">
        <v>25</v>
      </c>
      <c r="C29" s="7" t="s">
        <v>27</v>
      </c>
      <c r="D29" s="6">
        <v>0.12</v>
      </c>
      <c r="E29" s="6">
        <v>1.1299999999999999E-2</v>
      </c>
      <c r="F29" s="6"/>
      <c r="G29" s="8">
        <v>2.6599999999999999E-2</v>
      </c>
      <c r="H29" s="8"/>
      <c r="I29" s="8">
        <v>-3.3599999999999998E-4</v>
      </c>
      <c r="J29" s="6">
        <v>1</v>
      </c>
      <c r="K29" s="6">
        <v>0</v>
      </c>
    </row>
    <row r="30" spans="1:11">
      <c r="A30" s="6" t="s">
        <v>32</v>
      </c>
      <c r="B30" s="6" t="s">
        <v>25</v>
      </c>
      <c r="C30" s="7" t="s">
        <v>28</v>
      </c>
      <c r="D30" s="6">
        <v>0.77</v>
      </c>
      <c r="E30" s="6">
        <v>3.1700000000000001E-3</v>
      </c>
      <c r="F30" s="6"/>
      <c r="G30" s="8">
        <v>4.9300000000000004E-3</v>
      </c>
      <c r="H30" s="8"/>
      <c r="I30" s="8">
        <v>-6.0300000000000002E-5</v>
      </c>
      <c r="J30" s="6">
        <v>1</v>
      </c>
      <c r="K30" s="6">
        <v>0</v>
      </c>
    </row>
    <row r="31" spans="1:11">
      <c r="A31" s="6" t="s">
        <v>32</v>
      </c>
      <c r="B31" s="6" t="s">
        <v>30</v>
      </c>
      <c r="C31" s="6">
        <v>25</v>
      </c>
      <c r="D31" s="8">
        <v>1.01</v>
      </c>
      <c r="E31" s="8">
        <v>-5.1199999999999998E-4</v>
      </c>
      <c r="F31" s="6"/>
      <c r="G31" s="8"/>
      <c r="H31" s="8">
        <v>2.6199999999999999E-3</v>
      </c>
      <c r="I31" s="8"/>
      <c r="J31" s="6">
        <v>1</v>
      </c>
      <c r="K31" s="6">
        <v>0</v>
      </c>
    </row>
    <row r="32" spans="1:11">
      <c r="A32" s="6" t="s">
        <v>32</v>
      </c>
      <c r="B32" s="6" t="s">
        <v>30</v>
      </c>
      <c r="C32" s="6">
        <v>35</v>
      </c>
      <c r="D32" s="8">
        <v>1.24</v>
      </c>
      <c r="E32" s="8">
        <v>-3.9899999999999996E-3</v>
      </c>
      <c r="F32" s="6"/>
      <c r="G32" s="8"/>
      <c r="H32" s="8">
        <v>6.9300000000000004E-3</v>
      </c>
      <c r="I32" s="8"/>
      <c r="J32" s="6">
        <v>1</v>
      </c>
      <c r="K32" s="6">
        <v>0</v>
      </c>
    </row>
    <row r="33" spans="1:11">
      <c r="A33" s="6" t="s">
        <v>32</v>
      </c>
      <c r="B33" s="6" t="s">
        <v>30</v>
      </c>
      <c r="C33" s="6">
        <v>45</v>
      </c>
      <c r="D33" s="8">
        <v>1.66</v>
      </c>
      <c r="E33" s="8">
        <v>-1.0699999999999999E-2</v>
      </c>
      <c r="F33" s="6"/>
      <c r="G33" s="6"/>
      <c r="H33" s="6">
        <v>1.61E-2</v>
      </c>
      <c r="I33" s="6"/>
      <c r="J33" s="6">
        <v>1</v>
      </c>
      <c r="K33" s="6">
        <v>0</v>
      </c>
    </row>
    <row r="34" spans="1:11">
      <c r="A34" s="6" t="s">
        <v>32</v>
      </c>
      <c r="B34" s="6" t="s">
        <v>30</v>
      </c>
      <c r="C34" s="6">
        <v>55</v>
      </c>
      <c r="D34" s="8">
        <v>2.09</v>
      </c>
      <c r="E34" s="8">
        <v>-1.8499999999999999E-2</v>
      </c>
      <c r="F34" s="6"/>
      <c r="G34" s="6"/>
      <c r="H34" s="6">
        <v>2.7199999999999998E-2</v>
      </c>
      <c r="I34" s="6"/>
      <c r="J34" s="6">
        <v>1</v>
      </c>
      <c r="K34" s="6">
        <v>0</v>
      </c>
    </row>
    <row r="35" spans="1:11">
      <c r="A35" s="6" t="s">
        <v>33</v>
      </c>
      <c r="B35" s="6" t="s">
        <v>9</v>
      </c>
      <c r="C35">
        <v>20</v>
      </c>
      <c r="D35" s="8">
        <v>1</v>
      </c>
      <c r="J35" s="6">
        <v>1</v>
      </c>
      <c r="K35" s="6">
        <v>1</v>
      </c>
    </row>
    <row r="36" spans="1:11">
      <c r="A36" s="6" t="s">
        <v>33</v>
      </c>
      <c r="B36" s="6" t="s">
        <v>25</v>
      </c>
      <c r="C36" s="7" t="s">
        <v>27</v>
      </c>
      <c r="D36" s="8">
        <v>1</v>
      </c>
      <c r="J36" s="6">
        <v>1</v>
      </c>
      <c r="K36" s="6">
        <v>1</v>
      </c>
    </row>
    <row r="37" spans="1:11">
      <c r="A37" s="6" t="s">
        <v>33</v>
      </c>
      <c r="B37" s="6" t="s">
        <v>30</v>
      </c>
      <c r="C37" s="6">
        <v>35</v>
      </c>
      <c r="D37" s="8">
        <v>1</v>
      </c>
      <c r="J37" s="6">
        <v>1</v>
      </c>
      <c r="K37" s="6">
        <v>1</v>
      </c>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BB9E1-1FA2-2C49-8666-0328F95A2D69}">
  <sheetPr codeName="Sheet3"/>
  <dimension ref="A4:O38"/>
  <sheetViews>
    <sheetView tabSelected="1" workbookViewId="0">
      <pane ySplit="4" topLeftCell="A5" activePane="bottomLeft" state="frozen"/>
      <selection pane="bottomLeft" activeCell="A4" sqref="A4:J24"/>
    </sheetView>
  </sheetViews>
  <sheetFormatPr baseColWidth="10" defaultRowHeight="16"/>
  <cols>
    <col min="1" max="8" width="13.1640625" customWidth="1"/>
  </cols>
  <sheetData>
    <row r="4" spans="1:15">
      <c r="A4" s="1" t="s">
        <v>0</v>
      </c>
      <c r="B4" s="1" t="s">
        <v>1</v>
      </c>
      <c r="C4" s="1" t="s">
        <v>2</v>
      </c>
      <c r="D4" s="1" t="s">
        <v>4</v>
      </c>
      <c r="E4" s="1" t="s">
        <v>3</v>
      </c>
      <c r="F4" s="1" t="s">
        <v>5</v>
      </c>
      <c r="G4" s="1" t="s">
        <v>6</v>
      </c>
      <c r="H4" s="1" t="s">
        <v>7</v>
      </c>
      <c r="I4" s="1" t="s">
        <v>20</v>
      </c>
      <c r="J4" s="1" t="s">
        <v>21</v>
      </c>
    </row>
    <row r="5" spans="1:15">
      <c r="A5" t="s">
        <v>8</v>
      </c>
      <c r="B5" t="s">
        <v>9</v>
      </c>
      <c r="C5">
        <v>10</v>
      </c>
      <c r="D5">
        <v>-624000</v>
      </c>
      <c r="E5">
        <v>-9150</v>
      </c>
      <c r="F5">
        <v>16100</v>
      </c>
      <c r="I5">
        <v>120000</v>
      </c>
      <c r="J5">
        <v>55000</v>
      </c>
    </row>
    <row r="6" spans="1:15">
      <c r="A6" t="s">
        <v>8</v>
      </c>
      <c r="B6" t="s">
        <v>9</v>
      </c>
      <c r="C6">
        <v>20</v>
      </c>
      <c r="D6">
        <v>-331000</v>
      </c>
      <c r="E6">
        <v>-5110</v>
      </c>
      <c r="F6">
        <v>9210</v>
      </c>
      <c r="I6">
        <v>100000</v>
      </c>
      <c r="J6">
        <v>26000</v>
      </c>
    </row>
    <row r="7" spans="1:15">
      <c r="A7" s="6" t="s">
        <v>8</v>
      </c>
      <c r="B7" s="6" t="s">
        <v>9</v>
      </c>
      <c r="C7" s="6">
        <v>30</v>
      </c>
      <c r="D7" s="6">
        <v>-126000</v>
      </c>
      <c r="E7" s="6">
        <v>-2410</v>
      </c>
      <c r="F7" s="6">
        <v>4340</v>
      </c>
      <c r="G7" s="6"/>
      <c r="H7" s="6"/>
      <c r="I7" s="6">
        <v>72000</v>
      </c>
      <c r="J7" s="6">
        <v>21000</v>
      </c>
    </row>
    <row r="8" spans="1:15">
      <c r="A8" s="6" t="s">
        <v>8</v>
      </c>
      <c r="B8" s="6" t="s">
        <v>25</v>
      </c>
      <c r="C8" s="7" t="s">
        <v>26</v>
      </c>
      <c r="D8" s="6">
        <v>187</v>
      </c>
      <c r="E8" s="6">
        <v>7.46</v>
      </c>
      <c r="F8" s="6"/>
      <c r="G8" s="6">
        <v>-1.02</v>
      </c>
      <c r="H8" s="6"/>
      <c r="I8" s="6">
        <v>1050</v>
      </c>
      <c r="J8" s="6">
        <v>320</v>
      </c>
    </row>
    <row r="9" spans="1:15">
      <c r="A9" s="6" t="s">
        <v>8</v>
      </c>
      <c r="B9" s="6" t="s">
        <v>25</v>
      </c>
      <c r="C9" s="7" t="s">
        <v>27</v>
      </c>
      <c r="D9" s="6">
        <v>284</v>
      </c>
      <c r="E9" s="6">
        <v>6.03</v>
      </c>
      <c r="F9" s="6"/>
      <c r="G9" s="6">
        <v>-0.876</v>
      </c>
      <c r="H9" s="6"/>
      <c r="I9" s="6">
        <v>935</v>
      </c>
      <c r="J9" s="6">
        <v>645</v>
      </c>
    </row>
    <row r="10" spans="1:15">
      <c r="A10" s="6" t="s">
        <v>8</v>
      </c>
      <c r="B10" s="6" t="s">
        <v>25</v>
      </c>
      <c r="C10" s="7" t="s">
        <v>28</v>
      </c>
      <c r="D10" s="6">
        <v>357</v>
      </c>
      <c r="E10" s="6">
        <v>4.92</v>
      </c>
      <c r="F10" s="6"/>
      <c r="G10" s="6">
        <v>-0.76300000000000001</v>
      </c>
      <c r="H10" s="6"/>
      <c r="I10" s="6">
        <v>905</v>
      </c>
      <c r="J10" s="6">
        <v>650</v>
      </c>
    </row>
    <row r="11" spans="1:15">
      <c r="A11" s="6" t="s">
        <v>31</v>
      </c>
      <c r="B11" s="6" t="s">
        <v>9</v>
      </c>
      <c r="C11" s="6">
        <v>10</v>
      </c>
      <c r="D11" s="6">
        <v>-154000</v>
      </c>
      <c r="E11" s="6">
        <v>-2170</v>
      </c>
      <c r="F11" s="6">
        <v>3860</v>
      </c>
      <c r="G11" s="6"/>
      <c r="H11" s="6"/>
      <c r="I11" s="6">
        <v>26000</v>
      </c>
      <c r="J11" s="6">
        <v>10400</v>
      </c>
    </row>
    <row r="12" spans="1:15">
      <c r="A12" s="6" t="s">
        <v>31</v>
      </c>
      <c r="B12" s="6" t="s">
        <v>9</v>
      </c>
      <c r="C12" s="6">
        <v>20</v>
      </c>
      <c r="D12" s="6">
        <v>-90200</v>
      </c>
      <c r="E12" s="6">
        <v>-1350</v>
      </c>
      <c r="F12" s="6">
        <v>2420</v>
      </c>
      <c r="G12" s="6"/>
      <c r="H12" s="6"/>
      <c r="I12" s="6">
        <v>23000</v>
      </c>
      <c r="J12" s="6">
        <v>5000</v>
      </c>
      <c r="M12" s="3"/>
      <c r="N12" s="3"/>
      <c r="O12" s="3"/>
    </row>
    <row r="13" spans="1:15">
      <c r="A13" s="6" t="s">
        <v>31</v>
      </c>
      <c r="B13" s="6" t="s">
        <v>9</v>
      </c>
      <c r="C13" s="6">
        <v>30</v>
      </c>
      <c r="D13" s="6">
        <v>-34800</v>
      </c>
      <c r="E13" s="6">
        <v>-614</v>
      </c>
      <c r="F13" s="6">
        <v>1110</v>
      </c>
      <c r="G13" s="6"/>
      <c r="H13" s="6"/>
      <c r="I13" s="6">
        <v>15000</v>
      </c>
      <c r="J13" s="6">
        <v>4000</v>
      </c>
    </row>
    <row r="14" spans="1:15">
      <c r="A14" s="6" t="s">
        <v>31</v>
      </c>
      <c r="B14" s="6" t="s">
        <v>25</v>
      </c>
      <c r="C14" s="7" t="s">
        <v>26</v>
      </c>
      <c r="D14" s="6">
        <v>5.36</v>
      </c>
      <c r="E14" s="6">
        <v>3.99</v>
      </c>
      <c r="F14" s="6"/>
      <c r="G14" s="6">
        <v>-0.48</v>
      </c>
      <c r="H14" s="6"/>
      <c r="I14" s="6">
        <v>475</v>
      </c>
      <c r="J14" s="6">
        <v>260</v>
      </c>
    </row>
    <row r="15" spans="1:15">
      <c r="A15" s="6" t="s">
        <v>31</v>
      </c>
      <c r="B15" s="6" t="s">
        <v>25</v>
      </c>
      <c r="C15" s="7" t="s">
        <v>27</v>
      </c>
      <c r="D15" s="6">
        <v>62.3</v>
      </c>
      <c r="E15" s="6">
        <v>3.17</v>
      </c>
      <c r="F15" s="6"/>
      <c r="G15" s="6">
        <v>-0.44600000000000001</v>
      </c>
      <c r="H15" s="6"/>
      <c r="I15" s="6">
        <v>400</v>
      </c>
      <c r="J15" s="6">
        <v>360</v>
      </c>
    </row>
    <row r="16" spans="1:15">
      <c r="A16" s="6" t="s">
        <v>31</v>
      </c>
      <c r="B16" s="6" t="s">
        <v>25</v>
      </c>
      <c r="C16" s="7" t="s">
        <v>28</v>
      </c>
      <c r="D16" s="6">
        <v>98.7</v>
      </c>
      <c r="E16" s="6">
        <v>2.62</v>
      </c>
      <c r="F16" s="6"/>
      <c r="G16" s="6">
        <v>-0.39</v>
      </c>
      <c r="H16" s="6"/>
      <c r="I16" s="6">
        <v>380</v>
      </c>
      <c r="J16" s="6">
        <v>260</v>
      </c>
    </row>
    <row r="17" spans="1:10">
      <c r="A17" s="6" t="s">
        <v>32</v>
      </c>
      <c r="B17" s="6" t="s">
        <v>9</v>
      </c>
      <c r="C17" s="6">
        <v>10</v>
      </c>
      <c r="D17" s="6">
        <f t="shared" ref="D17:F19" si="0">D11*35000/11380</f>
        <v>-473637.96133567661</v>
      </c>
      <c r="E17" s="6">
        <f t="shared" si="0"/>
        <v>-6673.9894551845346</v>
      </c>
      <c r="F17" s="6">
        <f t="shared" si="0"/>
        <v>11871.704745166959</v>
      </c>
      <c r="G17" s="6"/>
      <c r="H17" s="6"/>
      <c r="I17" s="6">
        <f t="shared" ref="I17:J19" si="1">I11*35000/11380</f>
        <v>79964.850615114236</v>
      </c>
      <c r="J17" s="6">
        <f t="shared" si="1"/>
        <v>31985.940246045695</v>
      </c>
    </row>
    <row r="18" spans="1:10">
      <c r="A18" s="6" t="s">
        <v>32</v>
      </c>
      <c r="B18" s="6" t="s">
        <v>9</v>
      </c>
      <c r="C18" s="6">
        <v>20</v>
      </c>
      <c r="D18" s="6">
        <f t="shared" si="0"/>
        <v>-277416.52021089633</v>
      </c>
      <c r="E18" s="6">
        <f t="shared" si="0"/>
        <v>-4152.0210896309318</v>
      </c>
      <c r="F18" s="6">
        <f t="shared" si="0"/>
        <v>7442.8822495606328</v>
      </c>
      <c r="G18" s="6"/>
      <c r="H18" s="6"/>
      <c r="I18" s="6">
        <f t="shared" si="1"/>
        <v>70738.137082601053</v>
      </c>
      <c r="J18" s="6">
        <f t="shared" si="1"/>
        <v>15377.855887521968</v>
      </c>
    </row>
    <row r="19" spans="1:10">
      <c r="A19" s="6" t="s">
        <v>32</v>
      </c>
      <c r="B19" s="6" t="s">
        <v>9</v>
      </c>
      <c r="C19" s="6">
        <v>30</v>
      </c>
      <c r="D19" s="6">
        <f t="shared" si="0"/>
        <v>-107029.8769771529</v>
      </c>
      <c r="E19" s="6">
        <f t="shared" si="0"/>
        <v>-1888.4007029876977</v>
      </c>
      <c r="F19" s="6">
        <f t="shared" si="0"/>
        <v>3413.884007029877</v>
      </c>
      <c r="G19" s="6"/>
      <c r="H19" s="6"/>
      <c r="I19" s="6">
        <f t="shared" si="1"/>
        <v>46133.567662565903</v>
      </c>
      <c r="J19" s="6">
        <f t="shared" si="1"/>
        <v>12302.284710017575</v>
      </c>
    </row>
    <row r="20" spans="1:10">
      <c r="A20" s="6" t="s">
        <v>32</v>
      </c>
      <c r="B20" s="6" t="s">
        <v>25</v>
      </c>
      <c r="C20" s="7" t="s">
        <v>26</v>
      </c>
      <c r="D20" s="6">
        <f t="shared" ref="D20:E22" si="2">D14*1203/255</f>
        <v>25.286588235294122</v>
      </c>
      <c r="E20" s="6">
        <f t="shared" si="2"/>
        <v>18.823411764705885</v>
      </c>
      <c r="F20" s="6"/>
      <c r="G20" s="6">
        <f>G14*1203/255</f>
        <v>-2.264470588235294</v>
      </c>
      <c r="H20" s="6"/>
      <c r="I20" s="6">
        <f t="shared" ref="I20:J22" si="3">I14*1203/255</f>
        <v>2240.8823529411766</v>
      </c>
      <c r="J20" s="6">
        <f t="shared" si="3"/>
        <v>1226.5882352941176</v>
      </c>
    </row>
    <row r="21" spans="1:10">
      <c r="A21" s="6" t="s">
        <v>32</v>
      </c>
      <c r="B21" s="6" t="s">
        <v>25</v>
      </c>
      <c r="C21" s="7" t="s">
        <v>27</v>
      </c>
      <c r="D21" s="6">
        <f t="shared" si="2"/>
        <v>293.90941176470585</v>
      </c>
      <c r="E21" s="6">
        <f t="shared" si="2"/>
        <v>14.954941176470587</v>
      </c>
      <c r="F21" s="6"/>
      <c r="G21" s="6">
        <f>G15*1203/255</f>
        <v>-2.1040705882352944</v>
      </c>
      <c r="H21" s="6"/>
      <c r="I21" s="6">
        <f t="shared" si="3"/>
        <v>1887.0588235294117</v>
      </c>
      <c r="J21" s="6">
        <f t="shared" si="3"/>
        <v>1698.3529411764705</v>
      </c>
    </row>
    <row r="22" spans="1:10">
      <c r="A22" s="6" t="s">
        <v>32</v>
      </c>
      <c r="B22" s="6" t="s">
        <v>25</v>
      </c>
      <c r="C22" s="7" t="s">
        <v>28</v>
      </c>
      <c r="D22" s="6">
        <f t="shared" si="2"/>
        <v>465.6317647058824</v>
      </c>
      <c r="E22" s="6">
        <f t="shared" si="2"/>
        <v>12.360235294117647</v>
      </c>
      <c r="F22" s="6"/>
      <c r="G22" s="6">
        <f>G16*1203/255</f>
        <v>-1.8398823529411765</v>
      </c>
      <c r="H22" s="6"/>
      <c r="I22" s="6">
        <f t="shared" si="3"/>
        <v>1792.7058823529412</v>
      </c>
      <c r="J22" s="6">
        <f t="shared" si="3"/>
        <v>1226.5882352941176</v>
      </c>
    </row>
    <row r="23" spans="1:10">
      <c r="A23" s="6" t="s">
        <v>33</v>
      </c>
      <c r="B23" s="6" t="s">
        <v>9</v>
      </c>
      <c r="C23">
        <v>20</v>
      </c>
      <c r="D23" s="8">
        <v>44350</v>
      </c>
      <c r="E23" s="8"/>
      <c r="F23" s="6"/>
      <c r="G23" s="6"/>
      <c r="H23" s="6"/>
      <c r="I23" s="8">
        <v>44350</v>
      </c>
      <c r="J23" s="8">
        <v>44350</v>
      </c>
    </row>
    <row r="24" spans="1:10">
      <c r="A24" s="6" t="s">
        <v>33</v>
      </c>
      <c r="B24" s="6" t="s">
        <v>25</v>
      </c>
      <c r="C24" s="7" t="s">
        <v>27</v>
      </c>
      <c r="D24" s="8">
        <v>1100</v>
      </c>
      <c r="E24" s="8"/>
      <c r="F24" s="6"/>
      <c r="G24" s="6"/>
      <c r="H24" s="6"/>
      <c r="I24" s="8">
        <v>1100</v>
      </c>
      <c r="J24" s="8">
        <v>1100</v>
      </c>
    </row>
    <row r="25" spans="1:10">
      <c r="A25" s="6"/>
      <c r="B25" s="6"/>
      <c r="C25" s="8"/>
      <c r="D25" s="8"/>
      <c r="E25" s="8"/>
      <c r="F25" s="6"/>
      <c r="G25" s="6"/>
      <c r="H25" s="6"/>
      <c r="I25" s="6"/>
      <c r="J25" s="6"/>
    </row>
    <row r="26" spans="1:10">
      <c r="A26" s="6"/>
      <c r="B26" s="6"/>
      <c r="C26" s="6"/>
      <c r="D26" s="6"/>
      <c r="E26" s="6"/>
      <c r="F26" s="6"/>
      <c r="G26" s="6"/>
      <c r="H26" s="6"/>
      <c r="I26" s="6"/>
      <c r="J26" s="6"/>
    </row>
    <row r="27" spans="1:10">
      <c r="A27" s="6"/>
      <c r="B27" s="6"/>
      <c r="C27" s="6"/>
      <c r="D27" s="6"/>
      <c r="E27" s="6"/>
      <c r="F27" s="6"/>
      <c r="G27" s="6"/>
      <c r="H27" s="6"/>
      <c r="I27" s="6"/>
      <c r="J27" s="6"/>
    </row>
    <row r="28" spans="1:10">
      <c r="A28" s="6"/>
      <c r="B28" s="6"/>
      <c r="C28" s="6"/>
      <c r="D28" s="6"/>
      <c r="E28" s="6"/>
      <c r="F28" s="6"/>
      <c r="G28" s="6"/>
      <c r="H28" s="6"/>
      <c r="I28" s="6"/>
      <c r="J28" s="6"/>
    </row>
    <row r="29" spans="1:10">
      <c r="A29" s="6"/>
      <c r="B29" s="6"/>
      <c r="C29" s="6"/>
      <c r="D29" s="6"/>
      <c r="E29" s="6"/>
      <c r="F29" s="6"/>
      <c r="G29" s="6"/>
      <c r="H29" s="6"/>
      <c r="I29" s="6"/>
      <c r="J29" s="6"/>
    </row>
    <row r="30" spans="1:10">
      <c r="A30" s="6"/>
      <c r="B30" s="6"/>
      <c r="C30" s="6"/>
      <c r="D30" s="6"/>
      <c r="E30" s="6"/>
      <c r="F30" s="6"/>
      <c r="G30" s="6"/>
      <c r="H30" s="6"/>
      <c r="I30" s="6"/>
      <c r="J30" s="6"/>
    </row>
    <row r="31" spans="1:10">
      <c r="A31" s="6"/>
      <c r="B31" s="6"/>
      <c r="C31" s="6"/>
      <c r="D31" s="6"/>
      <c r="E31" s="6"/>
      <c r="F31" s="6"/>
      <c r="G31" s="6"/>
      <c r="H31" s="6"/>
      <c r="I31" s="6"/>
      <c r="J31" s="6"/>
    </row>
    <row r="32" spans="1:10">
      <c r="A32" s="6"/>
      <c r="B32" s="6"/>
      <c r="C32" s="6"/>
      <c r="D32" s="6"/>
      <c r="E32" s="6"/>
      <c r="F32" s="6"/>
      <c r="G32" s="6"/>
      <c r="H32" s="6"/>
      <c r="I32" s="6"/>
      <c r="J32" s="6"/>
    </row>
    <row r="33" spans="1:10">
      <c r="A33" s="6"/>
      <c r="B33" s="6"/>
      <c r="C33" s="6"/>
      <c r="D33" s="6"/>
      <c r="E33" s="6"/>
      <c r="F33" s="6"/>
      <c r="G33" s="6"/>
      <c r="H33" s="6"/>
      <c r="I33" s="6"/>
      <c r="J33" s="6"/>
    </row>
    <row r="34" spans="1:10">
      <c r="A34" s="6"/>
      <c r="B34" s="6"/>
      <c r="C34" s="6"/>
      <c r="D34" s="6"/>
      <c r="E34" s="6"/>
      <c r="F34" s="6"/>
      <c r="G34" s="6"/>
      <c r="H34" s="6"/>
      <c r="I34" s="6"/>
      <c r="J34" s="6"/>
    </row>
    <row r="35" spans="1:10">
      <c r="A35" s="6"/>
      <c r="B35" s="6"/>
      <c r="C35" s="6"/>
      <c r="D35" s="6"/>
      <c r="E35" s="6"/>
      <c r="F35" s="6"/>
      <c r="G35" s="6"/>
      <c r="H35" s="6"/>
      <c r="I35" s="6"/>
      <c r="J35" s="6"/>
    </row>
    <row r="36" spans="1:10">
      <c r="A36" s="6"/>
      <c r="B36" s="6"/>
      <c r="C36" s="6"/>
      <c r="D36" s="6"/>
      <c r="E36" s="6"/>
      <c r="F36" s="6"/>
      <c r="G36" s="6"/>
      <c r="H36" s="6"/>
      <c r="I36" s="6"/>
      <c r="J36" s="6"/>
    </row>
    <row r="37" spans="1:10">
      <c r="A37" s="6"/>
      <c r="B37" s="6"/>
      <c r="C37" s="6"/>
      <c r="D37" s="6"/>
      <c r="E37" s="6"/>
      <c r="F37" s="6"/>
      <c r="G37" s="6"/>
      <c r="H37" s="6"/>
      <c r="I37" s="6"/>
      <c r="J37" s="6"/>
    </row>
    <row r="38" spans="1:10">
      <c r="A38" s="6"/>
      <c r="B38" s="6"/>
      <c r="C38" s="6"/>
      <c r="D38" s="6"/>
      <c r="E38" s="6"/>
      <c r="F38" s="6"/>
      <c r="G38" s="6"/>
      <c r="H38" s="6"/>
      <c r="I38" s="6"/>
      <c r="J38" s="6"/>
    </row>
  </sheetData>
  <pageMargins left="0.7" right="0.7" top="0.75" bottom="0.75" header="0.3" footer="0.3"/>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Description</vt:lpstr>
      <vt:lpstr>capacity</vt:lpstr>
      <vt:lpstr>water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fralston</dc:creator>
  <cp:lastModifiedBy>fralston</cp:lastModifiedBy>
  <dcterms:created xsi:type="dcterms:W3CDTF">2018-03-14T16:14:25Z</dcterms:created>
  <dcterms:modified xsi:type="dcterms:W3CDTF">2019-08-01T16:12:30Z</dcterms:modified>
</cp:coreProperties>
</file>